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U:\UligarmPage\"/>
    </mc:Choice>
  </mc:AlternateContent>
  <xr:revisionPtr revIDLastSave="0" documentId="13_ncr:1_{087288C9-0852-492B-8BF3-9C7B2054F6E1}" xr6:coauthVersionLast="47" xr6:coauthVersionMax="47" xr10:uidLastSave="{00000000-0000-0000-0000-000000000000}"/>
  <bookViews>
    <workbookView xWindow="-120" yWindow="-120" windowWidth="29040" windowHeight="15720" xr2:uid="{D9E622A8-95F9-42AD-B0D8-E844E210141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1" l="1"/>
  <c r="X4" i="1"/>
  <c r="X5" i="1"/>
  <c r="X6" i="1"/>
  <c r="X7" i="1"/>
  <c r="X8" i="1"/>
  <c r="X9" i="1"/>
  <c r="X10" i="1"/>
  <c r="X11" i="1"/>
  <c r="X12" i="1"/>
  <c r="V3" i="1"/>
  <c r="V4" i="1"/>
  <c r="V5" i="1"/>
  <c r="V6" i="1"/>
  <c r="V7" i="1"/>
  <c r="V8" i="1"/>
  <c r="V9" i="1"/>
  <c r="V10" i="1"/>
  <c r="V11" i="1"/>
  <c r="V12" i="1"/>
  <c r="T3" i="1"/>
  <c r="T4" i="1"/>
  <c r="T5" i="1"/>
  <c r="T6" i="1"/>
  <c r="T7" i="1"/>
  <c r="T8" i="1"/>
  <c r="T9" i="1"/>
  <c r="T10" i="1"/>
  <c r="T11" i="1"/>
  <c r="T12" i="1"/>
  <c r="R12" i="1"/>
  <c r="R3" i="1"/>
  <c r="R4" i="1"/>
  <c r="R5" i="1"/>
  <c r="R6" i="1"/>
  <c r="R7" i="1"/>
  <c r="R8" i="1"/>
  <c r="R9" i="1"/>
  <c r="R10" i="1"/>
  <c r="R11" i="1"/>
  <c r="P3" i="1"/>
  <c r="P4" i="1"/>
  <c r="P5" i="1"/>
  <c r="P6" i="1"/>
  <c r="P7" i="1"/>
  <c r="P8" i="1"/>
  <c r="P9" i="1"/>
  <c r="P10" i="1"/>
  <c r="P11" i="1"/>
  <c r="P12" i="1"/>
  <c r="N3" i="1"/>
  <c r="N4" i="1"/>
  <c r="N5" i="1"/>
  <c r="N6" i="1"/>
  <c r="N7" i="1"/>
  <c r="N8" i="1"/>
  <c r="N9" i="1"/>
  <c r="N10" i="1"/>
  <c r="N11" i="1"/>
  <c r="N12" i="1"/>
  <c r="R2" i="1"/>
  <c r="T2" i="1" s="1"/>
  <c r="V2" i="1" s="1"/>
  <c r="X2" i="1" s="1"/>
  <c r="P2" i="1"/>
  <c r="N2" i="1"/>
</calcChain>
</file>

<file path=xl/sharedStrings.xml><?xml version="1.0" encoding="utf-8"?>
<sst xmlns="http://schemas.openxmlformats.org/spreadsheetml/2006/main" count="103" uniqueCount="81">
  <si>
    <t>player_name</t>
  </si>
  <si>
    <t>pj_id</t>
  </si>
  <si>
    <t>country_name</t>
  </si>
  <si>
    <t>pj_name</t>
  </si>
  <si>
    <t>pj_genre</t>
  </si>
  <si>
    <t>pj_level</t>
  </si>
  <si>
    <t>pj_experience</t>
  </si>
  <si>
    <t>pj_race</t>
  </si>
  <si>
    <t>pj_class</t>
  </si>
  <si>
    <t>ability_cant</t>
  </si>
  <si>
    <t>special_ability_name</t>
  </si>
  <si>
    <t>special_ability_description</t>
  </si>
  <si>
    <t>strength</t>
  </si>
  <si>
    <t>strength_mod</t>
  </si>
  <si>
    <t>dexterity</t>
  </si>
  <si>
    <t>dexterity_mod</t>
  </si>
  <si>
    <t>constitution</t>
  </si>
  <si>
    <t>constitution_mod</t>
  </si>
  <si>
    <t>intelligence</t>
  </si>
  <si>
    <t>intelligence_mod</t>
  </si>
  <si>
    <t>wisdom</t>
  </si>
  <si>
    <t>wisdom_mod</t>
  </si>
  <si>
    <t>charisma</t>
  </si>
  <si>
    <t>charisma_mod</t>
  </si>
  <si>
    <t>AntonioE</t>
  </si>
  <si>
    <t>Alta del Este</t>
  </si>
  <si>
    <t>M</t>
  </si>
  <si>
    <t>Humano</t>
  </si>
  <si>
    <t>Brujo</t>
  </si>
  <si>
    <t>BastianP</t>
  </si>
  <si>
    <t>Minotauro</t>
  </si>
  <si>
    <t>Barbaro</t>
  </si>
  <si>
    <t>CristobalJ</t>
  </si>
  <si>
    <t>Sento Hasegawa</t>
  </si>
  <si>
    <t>Tieffling</t>
  </si>
  <si>
    <t>Paladin</t>
  </si>
  <si>
    <t>Black Celebration</t>
  </si>
  <si>
    <t>Convierte aliados en un liquido a eleccion, saltandose el siguiente turno de sus aliados, a cambio, los cura levemente y son inmunes al daño, efectos cualquieras, etc. Cualquier efecto aplicado antes de la liquidificacion es eliminado al final del efecto. 1 uso por descanso.</t>
  </si>
  <si>
    <t>JavieraP</t>
  </si>
  <si>
    <t>F</t>
  </si>
  <si>
    <t>Mediano</t>
  </si>
  <si>
    <t>Monje</t>
  </si>
  <si>
    <t>MauricioB</t>
  </si>
  <si>
    <t>Draconido</t>
  </si>
  <si>
    <t>Guerrero</t>
  </si>
  <si>
    <t>CamilaP</t>
  </si>
  <si>
    <t>Pir</t>
  </si>
  <si>
    <t>Hechicero</t>
  </si>
  <si>
    <t>RaquelA</t>
  </si>
  <si>
    <t>Elfo del Bosque</t>
  </si>
  <si>
    <t>Bardo</t>
  </si>
  <si>
    <t>Princesita</t>
  </si>
  <si>
    <t>OsoBuho. Stats: 18STR ; 14DEX ; 16CON ; 8INT ; 6WIS ; 10CAR. Ataca con sus garras afiladas, haciendo 2d12 de daño + sangrado a partir de "AC_enemigo + 2".</t>
  </si>
  <si>
    <t>FabianG</t>
  </si>
  <si>
    <t>Mezonia</t>
  </si>
  <si>
    <t>Vexillum Viride</t>
  </si>
  <si>
    <t>Picaro</t>
  </si>
  <si>
    <t>Suerte++</t>
  </si>
  <si>
    <t>Usa suerte de golpe, siguiente tirada se calcula como: "Suerte ganada / 2" De manera que se redondea a lo mas alto. La suerte se gana con un sistema de karma.</t>
  </si>
  <si>
    <t>FernandaH</t>
  </si>
  <si>
    <t>Elfo</t>
  </si>
  <si>
    <t>Cleriego</t>
  </si>
  <si>
    <t>PalomaO</t>
  </si>
  <si>
    <t>Drow</t>
  </si>
  <si>
    <t>Sombras</t>
  </si>
  <si>
    <t>Ibro Hamok</t>
  </si>
  <si>
    <t>Swap</t>
  </si>
  <si>
    <t>Realiza un cambio de almas entre el usuario y su contratante que dura 1 minuto (fuera de combate) o 2 turnos (dentro de combate). El alma del usuario vuelve una vez pasado el tiempo, todo el daño recibido es compartido. Si el contratante es derrotado antes de que se acabe el tiempo, el usuario vuelve sin rasjuños.</t>
  </si>
  <si>
    <t>Raychin Gueña</t>
  </si>
  <si>
    <t>Suena el Punch</t>
  </si>
  <si>
    <t>El usuario acumula todo el daño inflingido, recibido y curado en el turno, para liberarlo en un golpe devastador en su siguiente ataque. Este golpe equivale a 1D12 + acumulado. En caso que no pueda acumular nada, el objetivo obtendra un estado negativo elegido por el usuario: Stun (20 segundos / 1 turno), Sangrado (30 segundos / 2 turnos) o Confusion (40 segundos / 3 Turnos)</t>
  </si>
  <si>
    <t>Humano+</t>
  </si>
  <si>
    <t>Lucanar Tarknus</t>
  </si>
  <si>
    <t>Iron Maiden</t>
  </si>
  <si>
    <t xml:space="preserve">El usuario puede viajar mediante las sombras (hasta 25 metros de distancia), recibiendo 1D4 de daño mediante un chance, calculado como "1/2^(8-n)", siendo n el numero de veces que se usa la habilidad antes de un descanso largo. </t>
  </si>
  <si>
    <t>El usuario es capaz de manipular los metales que lo rodean (hasta 25 metros de distancia), haciendo formas varias de defensas y ataques que benefician a si mismo y a sus aliados.</t>
  </si>
  <si>
    <t>Krivna Jeryn</t>
  </si>
  <si>
    <t>Sora</t>
  </si>
  <si>
    <t>CarlaB</t>
  </si>
  <si>
    <t>Aguila. Stats: 8STR ; 18DEX ; 10CON ; 10INT ; 12WIS ; 14CAR. Puede causar un destello cegante a merced de su usuario (20 segundos / 1 turno), ademas, puede volar por su cuenta (30 metros de altura, alejarse 20 metros del usuario maximo en otra direccion) y el usuario puede ver a traves de los ojos de Sora, quedando limitado a ver lo que este hace (no puede hacer mas que ver a traves de Sora y hablar con su propio cuerpo).</t>
  </si>
  <si>
    <t>Sira Strand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</si>
</sst>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77910-4458-41B4-971B-CA59A354520A}">
  <dimension ref="A1:X13"/>
  <sheetViews>
    <sheetView tabSelected="1" topLeftCell="A3" workbookViewId="0">
      <selection activeCell="D9" sqref="D9"/>
    </sheetView>
  </sheetViews>
  <sheetFormatPr defaultColWidth="9.125" defaultRowHeight="14.25"/>
  <cols>
    <col min="1" max="1" width="12.25" style="1" bestFit="1" customWidth="1"/>
    <col min="2" max="2" width="5.25" style="1" bestFit="1" customWidth="1"/>
    <col min="3" max="3" width="13.625" style="1" bestFit="1" customWidth="1"/>
    <col min="4" max="4" width="15.625" style="1" bestFit="1" customWidth="1"/>
    <col min="5" max="5" width="8.375" style="1" bestFit="1" customWidth="1"/>
    <col min="6" max="6" width="7.625" style="1" bestFit="1" customWidth="1"/>
    <col min="7" max="7" width="13.125" style="1" bestFit="1" customWidth="1"/>
    <col min="8" max="8" width="14.625" style="1" bestFit="1" customWidth="1"/>
    <col min="9" max="9" width="9.875" style="1" bestFit="1" customWidth="1"/>
    <col min="10" max="10" width="11.125" style="1" bestFit="1" customWidth="1"/>
    <col min="11" max="11" width="19.875" style="1" bestFit="1" customWidth="1"/>
    <col min="12" max="12" width="49.625" style="1" bestFit="1" customWidth="1"/>
    <col min="13" max="13" width="8.125" style="1" bestFit="1" customWidth="1"/>
    <col min="14" max="14" width="13.125" style="1" bestFit="1" customWidth="1"/>
    <col min="15" max="15" width="8.25" style="1" bestFit="1" customWidth="1"/>
    <col min="16" max="16" width="13.25" style="1" bestFit="1" customWidth="1"/>
    <col min="17" max="17" width="11.625" style="1" bestFit="1" customWidth="1"/>
    <col min="18" max="18" width="16.625" style="1" bestFit="1" customWidth="1"/>
    <col min="19" max="19" width="11.125" style="1" bestFit="1" customWidth="1"/>
    <col min="20" max="20" width="16.125" style="1" bestFit="1" customWidth="1"/>
    <col min="21" max="21" width="8" style="1" bestFit="1" customWidth="1"/>
    <col min="22" max="22" width="12.875" style="1" bestFit="1" customWidth="1"/>
    <col min="23" max="23" width="9.375" style="1" bestFit="1" customWidth="1"/>
    <col min="24" max="24" width="14.375" style="1" bestFit="1" customWidth="1"/>
    <col min="25" max="16384" width="9.125" style="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85.5">
      <c r="A2" s="1" t="s">
        <v>24</v>
      </c>
      <c r="B2" s="1">
        <v>1</v>
      </c>
      <c r="C2" s="1" t="s">
        <v>25</v>
      </c>
      <c r="D2" s="1" t="s">
        <v>65</v>
      </c>
      <c r="E2" s="1" t="s">
        <v>26</v>
      </c>
      <c r="F2" s="1">
        <v>1</v>
      </c>
      <c r="G2" s="1">
        <v>0</v>
      </c>
      <c r="H2" s="1" t="s">
        <v>27</v>
      </c>
      <c r="I2" s="1" t="s">
        <v>28</v>
      </c>
      <c r="J2" s="1">
        <v>1</v>
      </c>
      <c r="K2" s="1" t="s">
        <v>66</v>
      </c>
      <c r="L2" s="1" t="s">
        <v>67</v>
      </c>
      <c r="M2" s="1">
        <v>5</v>
      </c>
      <c r="N2" s="1">
        <f>(INT((M2-10)/2))</f>
        <v>-3</v>
      </c>
      <c r="O2" s="1">
        <v>12</v>
      </c>
      <c r="P2" s="1">
        <f t="shared" ref="P2:X2" si="0">(INT((O2-10)/2))</f>
        <v>1</v>
      </c>
      <c r="Q2" s="1">
        <v>13</v>
      </c>
      <c r="R2" s="1">
        <f t="shared" si="0"/>
        <v>1</v>
      </c>
      <c r="S2" s="1">
        <v>10</v>
      </c>
      <c r="T2" s="1">
        <f t="shared" si="0"/>
        <v>0</v>
      </c>
      <c r="U2" s="1">
        <v>13</v>
      </c>
      <c r="V2" s="1">
        <f t="shared" si="0"/>
        <v>1</v>
      </c>
      <c r="W2" s="1">
        <v>15</v>
      </c>
      <c r="X2" s="1">
        <f t="shared" si="0"/>
        <v>2</v>
      </c>
    </row>
    <row r="3" spans="1:24" ht="114">
      <c r="A3" s="1" t="s">
        <v>29</v>
      </c>
      <c r="B3" s="1">
        <v>2</v>
      </c>
      <c r="C3" s="1" t="s">
        <v>25</v>
      </c>
      <c r="D3" s="1" t="s">
        <v>68</v>
      </c>
      <c r="E3" s="1" t="s">
        <v>26</v>
      </c>
      <c r="F3" s="1">
        <v>1</v>
      </c>
      <c r="G3" s="1">
        <v>0</v>
      </c>
      <c r="H3" s="1" t="s">
        <v>30</v>
      </c>
      <c r="I3" s="1" t="s">
        <v>31</v>
      </c>
      <c r="J3" s="1">
        <v>1</v>
      </c>
      <c r="K3" s="1" t="s">
        <v>69</v>
      </c>
      <c r="L3" s="1" t="s">
        <v>70</v>
      </c>
      <c r="M3" s="1">
        <v>14</v>
      </c>
      <c r="N3" s="1">
        <f t="shared" ref="N3:N12" si="1">(INT((M3-10)/2))</f>
        <v>2</v>
      </c>
      <c r="O3" s="1">
        <v>10</v>
      </c>
      <c r="P3" s="1">
        <f t="shared" ref="P3" si="2">(INT((O3-10)/2))</f>
        <v>0</v>
      </c>
      <c r="Q3" s="1">
        <v>15</v>
      </c>
      <c r="R3" s="1">
        <f t="shared" ref="R3" si="3">(INT((Q3-10)/2))</f>
        <v>2</v>
      </c>
      <c r="S3" s="1">
        <v>12</v>
      </c>
      <c r="T3" s="1">
        <f t="shared" ref="T3" si="4">(INT((S3-10)/2))</f>
        <v>1</v>
      </c>
      <c r="U3" s="1">
        <v>7</v>
      </c>
      <c r="V3" s="1">
        <f t="shared" ref="V3" si="5">(INT((U3-10)/2))</f>
        <v>-2</v>
      </c>
      <c r="W3" s="1">
        <v>14</v>
      </c>
      <c r="X3" s="1">
        <f t="shared" ref="X3" si="6">(INT((W3-10)/2))</f>
        <v>2</v>
      </c>
    </row>
    <row r="4" spans="1:24" ht="71.25">
      <c r="A4" s="1" t="s">
        <v>32</v>
      </c>
      <c r="B4" s="1">
        <v>3</v>
      </c>
      <c r="C4" s="1" t="s">
        <v>25</v>
      </c>
      <c r="D4" s="1" t="s">
        <v>33</v>
      </c>
      <c r="E4" s="1" t="s">
        <v>26</v>
      </c>
      <c r="F4" s="1">
        <v>1</v>
      </c>
      <c r="G4" s="1">
        <v>0</v>
      </c>
      <c r="H4" s="1" t="s">
        <v>34</v>
      </c>
      <c r="I4" s="1" t="s">
        <v>35</v>
      </c>
      <c r="J4" s="1">
        <v>1</v>
      </c>
      <c r="K4" s="1" t="s">
        <v>36</v>
      </c>
      <c r="L4" s="1" t="s">
        <v>37</v>
      </c>
      <c r="M4" s="1">
        <v>9</v>
      </c>
      <c r="N4" s="1">
        <f t="shared" si="1"/>
        <v>-1</v>
      </c>
      <c r="O4" s="1">
        <v>15</v>
      </c>
      <c r="P4" s="1">
        <f t="shared" ref="P4" si="7">(INT((O4-10)/2))</f>
        <v>2</v>
      </c>
      <c r="Q4" s="1">
        <v>18</v>
      </c>
      <c r="R4" s="1">
        <f t="shared" ref="R4" si="8">(INT((Q4-10)/2))</f>
        <v>4</v>
      </c>
      <c r="S4" s="1">
        <v>5</v>
      </c>
      <c r="T4" s="1">
        <f t="shared" ref="T4" si="9">(INT((S4-10)/2))</f>
        <v>-3</v>
      </c>
      <c r="U4" s="1">
        <v>15</v>
      </c>
      <c r="V4" s="1">
        <f t="shared" ref="V4" si="10">(INT((U4-10)/2))</f>
        <v>2</v>
      </c>
      <c r="W4" s="1">
        <v>11</v>
      </c>
      <c r="X4" s="1">
        <f t="shared" ref="X4" si="11">(INT((W4-10)/2))</f>
        <v>0</v>
      </c>
    </row>
    <row r="5" spans="1:24">
      <c r="A5" s="1" t="s">
        <v>38</v>
      </c>
      <c r="B5" s="1">
        <v>4</v>
      </c>
      <c r="C5" s="1" t="s">
        <v>25</v>
      </c>
      <c r="E5" s="1" t="s">
        <v>39</v>
      </c>
      <c r="F5" s="1">
        <v>1</v>
      </c>
      <c r="G5" s="1">
        <v>0</v>
      </c>
      <c r="H5" s="1" t="s">
        <v>40</v>
      </c>
      <c r="I5" s="1" t="s">
        <v>41</v>
      </c>
      <c r="J5" s="1">
        <v>1</v>
      </c>
      <c r="M5" s="1">
        <v>10</v>
      </c>
      <c r="N5" s="1">
        <f t="shared" si="1"/>
        <v>0</v>
      </c>
      <c r="O5" s="1">
        <v>16</v>
      </c>
      <c r="P5" s="1">
        <f t="shared" ref="P5" si="12">(INT((O5-10)/2))</f>
        <v>3</v>
      </c>
      <c r="Q5" s="1">
        <v>13</v>
      </c>
      <c r="R5" s="1">
        <f t="shared" ref="R5" si="13">(INT((Q5-10)/2))</f>
        <v>1</v>
      </c>
      <c r="S5" s="1">
        <v>7</v>
      </c>
      <c r="T5" s="1">
        <f t="shared" ref="T5" si="14">(INT((S5-10)/2))</f>
        <v>-2</v>
      </c>
      <c r="U5" s="1">
        <v>15</v>
      </c>
      <c r="V5" s="1">
        <f t="shared" ref="V5" si="15">(INT((U5-10)/2))</f>
        <v>2</v>
      </c>
      <c r="W5" s="1">
        <v>9</v>
      </c>
      <c r="X5" s="1">
        <f t="shared" ref="X5" si="16">(INT((W5-10)/2))</f>
        <v>-1</v>
      </c>
    </row>
    <row r="6" spans="1:24" ht="57">
      <c r="A6" s="1" t="s">
        <v>42</v>
      </c>
      <c r="B6" s="1">
        <v>5</v>
      </c>
      <c r="C6" s="1" t="s">
        <v>25</v>
      </c>
      <c r="D6" s="1" t="s">
        <v>72</v>
      </c>
      <c r="E6" s="1" t="s">
        <v>26</v>
      </c>
      <c r="F6" s="1">
        <v>1</v>
      </c>
      <c r="G6" s="1">
        <v>0</v>
      </c>
      <c r="H6" s="1" t="s">
        <v>71</v>
      </c>
      <c r="I6" s="1" t="s">
        <v>44</v>
      </c>
      <c r="J6" s="1">
        <v>1</v>
      </c>
      <c r="K6" s="1" t="s">
        <v>73</v>
      </c>
      <c r="L6" s="1" t="s">
        <v>75</v>
      </c>
      <c r="M6" s="1">
        <v>11</v>
      </c>
      <c r="N6" s="1">
        <f t="shared" si="1"/>
        <v>0</v>
      </c>
      <c r="O6" s="1">
        <v>13</v>
      </c>
      <c r="P6" s="1">
        <f t="shared" ref="P6" si="17">(INT((O6-10)/2))</f>
        <v>1</v>
      </c>
      <c r="Q6" s="1">
        <v>12</v>
      </c>
      <c r="R6" s="1">
        <f t="shared" ref="R6" si="18">(INT((Q6-10)/2))</f>
        <v>1</v>
      </c>
      <c r="S6" s="1">
        <v>14</v>
      </c>
      <c r="T6" s="1">
        <f t="shared" ref="T6" si="19">(INT((S6-10)/2))</f>
        <v>2</v>
      </c>
      <c r="U6" s="1">
        <v>11</v>
      </c>
      <c r="V6" s="1">
        <f t="shared" ref="V6" si="20">(INT((U6-10)/2))</f>
        <v>0</v>
      </c>
      <c r="W6" s="1">
        <v>15</v>
      </c>
      <c r="X6" s="1">
        <f t="shared" ref="X6" si="21">(INT((W6-10)/2))</f>
        <v>2</v>
      </c>
    </row>
    <row r="7" spans="1:24" ht="114">
      <c r="A7" s="1" t="s">
        <v>45</v>
      </c>
      <c r="B7" s="1">
        <v>6</v>
      </c>
      <c r="C7" s="1" t="s">
        <v>46</v>
      </c>
      <c r="D7" s="1" t="s">
        <v>76</v>
      </c>
      <c r="E7" s="1" t="s">
        <v>39</v>
      </c>
      <c r="F7" s="1">
        <v>1</v>
      </c>
      <c r="G7" s="1">
        <v>0</v>
      </c>
      <c r="H7" s="1" t="s">
        <v>43</v>
      </c>
      <c r="I7" s="1" t="s">
        <v>44</v>
      </c>
      <c r="J7" s="1">
        <v>1</v>
      </c>
      <c r="K7" s="1" t="s">
        <v>77</v>
      </c>
      <c r="L7" s="1" t="s">
        <v>79</v>
      </c>
      <c r="M7" s="1">
        <v>9</v>
      </c>
      <c r="N7" s="1">
        <f t="shared" si="1"/>
        <v>-1</v>
      </c>
      <c r="O7" s="1">
        <v>13</v>
      </c>
      <c r="P7" s="1">
        <f t="shared" ref="P7" si="22">(INT((O7-10)/2))</f>
        <v>1</v>
      </c>
      <c r="Q7" s="1">
        <v>13</v>
      </c>
      <c r="R7" s="1">
        <f t="shared" ref="R7" si="23">(INT((Q7-10)/2))</f>
        <v>1</v>
      </c>
      <c r="S7" s="1">
        <v>11</v>
      </c>
      <c r="T7" s="1">
        <f t="shared" ref="T7" si="24">(INT((S7-10)/2))</f>
        <v>0</v>
      </c>
      <c r="U7" s="1">
        <v>12</v>
      </c>
      <c r="V7" s="1">
        <f t="shared" ref="V7" si="25">(INT((U7-10)/2))</f>
        <v>1</v>
      </c>
      <c r="W7" s="1">
        <v>16</v>
      </c>
      <c r="X7" s="1">
        <f t="shared" ref="X7" si="26">(INT((W7-10)/2))</f>
        <v>3</v>
      </c>
    </row>
    <row r="8" spans="1:24">
      <c r="A8" s="1" t="s">
        <v>78</v>
      </c>
      <c r="B8" s="1">
        <v>7</v>
      </c>
      <c r="C8" s="1" t="s">
        <v>46</v>
      </c>
      <c r="E8" s="1" t="s">
        <v>39</v>
      </c>
      <c r="F8" s="1">
        <v>1</v>
      </c>
      <c r="G8" s="1">
        <v>0</v>
      </c>
      <c r="H8" s="1" t="s">
        <v>43</v>
      </c>
      <c r="I8" s="1" t="s">
        <v>47</v>
      </c>
      <c r="J8" s="1">
        <v>1</v>
      </c>
      <c r="M8" s="1">
        <v>14</v>
      </c>
      <c r="N8" s="1">
        <f t="shared" si="1"/>
        <v>2</v>
      </c>
      <c r="O8" s="1">
        <v>14</v>
      </c>
      <c r="P8" s="1">
        <f t="shared" ref="P8" si="27">(INT((O8-10)/2))</f>
        <v>2</v>
      </c>
      <c r="Q8" s="1">
        <v>14</v>
      </c>
      <c r="R8" s="1">
        <f t="shared" ref="R8" si="28">(INT((Q8-10)/2))</f>
        <v>2</v>
      </c>
      <c r="S8" s="1">
        <v>9</v>
      </c>
      <c r="T8" s="1">
        <f t="shared" ref="T8" si="29">(INT((S8-10)/2))</f>
        <v>-1</v>
      </c>
      <c r="U8" s="1">
        <v>8</v>
      </c>
      <c r="V8" s="1">
        <f t="shared" ref="V8" si="30">(INT((U8-10)/2))</f>
        <v>-1</v>
      </c>
      <c r="W8" s="1">
        <v>8</v>
      </c>
      <c r="X8" s="1">
        <f t="shared" ref="X8" si="31">(INT((W8-10)/2))</f>
        <v>-1</v>
      </c>
    </row>
    <row r="9" spans="1:24" ht="42.75">
      <c r="A9" s="1" t="s">
        <v>48</v>
      </c>
      <c r="B9" s="1">
        <v>8</v>
      </c>
      <c r="C9" s="1" t="s">
        <v>46</v>
      </c>
      <c r="D9" s="1" t="s">
        <v>80</v>
      </c>
      <c r="E9" s="1" t="s">
        <v>39</v>
      </c>
      <c r="F9" s="1">
        <v>1</v>
      </c>
      <c r="G9" s="1">
        <v>0</v>
      </c>
      <c r="H9" s="1" t="s">
        <v>49</v>
      </c>
      <c r="I9" s="1" t="s">
        <v>50</v>
      </c>
      <c r="J9" s="1">
        <v>1</v>
      </c>
      <c r="K9" s="1" t="s">
        <v>51</v>
      </c>
      <c r="L9" s="1" t="s">
        <v>52</v>
      </c>
      <c r="M9" s="1">
        <v>10</v>
      </c>
      <c r="N9" s="1">
        <f t="shared" si="1"/>
        <v>0</v>
      </c>
      <c r="O9" s="1">
        <v>16</v>
      </c>
      <c r="P9" s="1">
        <f t="shared" ref="P9" si="32">(INT((O9-10)/2))</f>
        <v>3</v>
      </c>
      <c r="Q9" s="1">
        <v>14</v>
      </c>
      <c r="R9" s="1">
        <f t="shared" ref="R9" si="33">(INT((Q9-10)/2))</f>
        <v>2</v>
      </c>
      <c r="S9" s="1">
        <v>9</v>
      </c>
      <c r="T9" s="1">
        <f t="shared" ref="T9" si="34">(INT((S9-10)/2))</f>
        <v>-1</v>
      </c>
      <c r="U9" s="1">
        <v>13</v>
      </c>
      <c r="V9" s="1">
        <f t="shared" ref="V9" si="35">(INT((U9-10)/2))</f>
        <v>1</v>
      </c>
      <c r="W9" s="1">
        <v>16</v>
      </c>
      <c r="X9" s="1">
        <f t="shared" ref="X9" si="36">(INT((W9-10)/2))</f>
        <v>3</v>
      </c>
    </row>
    <row r="10" spans="1:24" ht="42.75">
      <c r="A10" s="1" t="s">
        <v>53</v>
      </c>
      <c r="B10" s="1">
        <v>9</v>
      </c>
      <c r="C10" s="1" t="s">
        <v>54</v>
      </c>
      <c r="D10" s="1" t="s">
        <v>55</v>
      </c>
      <c r="E10" s="1" t="s">
        <v>26</v>
      </c>
      <c r="F10" s="1">
        <v>1</v>
      </c>
      <c r="G10" s="1">
        <v>0</v>
      </c>
      <c r="H10" s="1" t="s">
        <v>27</v>
      </c>
      <c r="I10" s="1" t="s">
        <v>56</v>
      </c>
      <c r="J10" s="1">
        <v>1</v>
      </c>
      <c r="K10" s="1" t="s">
        <v>57</v>
      </c>
      <c r="L10" s="1" t="s">
        <v>58</v>
      </c>
      <c r="M10" s="1">
        <v>9</v>
      </c>
      <c r="N10" s="1">
        <f t="shared" si="1"/>
        <v>-1</v>
      </c>
      <c r="O10" s="1">
        <v>18</v>
      </c>
      <c r="P10" s="1">
        <f t="shared" ref="P10" si="37">(INT((O10-10)/2))</f>
        <v>4</v>
      </c>
      <c r="Q10" s="1">
        <v>12</v>
      </c>
      <c r="R10" s="1">
        <f t="shared" ref="R10" si="38">(INT((Q10-10)/2))</f>
        <v>1</v>
      </c>
      <c r="S10" s="1">
        <v>15</v>
      </c>
      <c r="T10" s="1">
        <f t="shared" ref="T10" si="39">(INT((S10-10)/2))</f>
        <v>2</v>
      </c>
      <c r="U10" s="1">
        <v>13</v>
      </c>
      <c r="V10" s="1">
        <f t="shared" ref="V10" si="40">(INT((U10-10)/2))</f>
        <v>1</v>
      </c>
      <c r="W10" s="1">
        <v>15</v>
      </c>
      <c r="X10" s="1">
        <f t="shared" ref="X10" si="41">(INT((W10-10)/2))</f>
        <v>2</v>
      </c>
    </row>
    <row r="11" spans="1:24">
      <c r="A11" s="1" t="s">
        <v>59</v>
      </c>
      <c r="B11" s="1">
        <v>10</v>
      </c>
      <c r="C11" s="1" t="s">
        <v>54</v>
      </c>
      <c r="E11" s="1" t="s">
        <v>39</v>
      </c>
      <c r="F11" s="1">
        <v>1</v>
      </c>
      <c r="G11" s="1">
        <v>0</v>
      </c>
      <c r="H11" s="1" t="s">
        <v>60</v>
      </c>
      <c r="I11" s="1" t="s">
        <v>61</v>
      </c>
      <c r="J11" s="1">
        <v>1</v>
      </c>
      <c r="M11" s="1">
        <v>12</v>
      </c>
      <c r="N11" s="1">
        <f t="shared" si="1"/>
        <v>1</v>
      </c>
      <c r="O11" s="1">
        <v>11</v>
      </c>
      <c r="P11" s="1">
        <f t="shared" ref="P11" si="42">(INT((O11-10)/2))</f>
        <v>0</v>
      </c>
      <c r="Q11" s="1">
        <v>12</v>
      </c>
      <c r="R11" s="1">
        <f t="shared" ref="R11:R12" si="43">(INT((Q11-10)/2))</f>
        <v>1</v>
      </c>
      <c r="S11" s="1">
        <v>6</v>
      </c>
      <c r="T11" s="1">
        <f t="shared" ref="T11" si="44">(INT((S11-10)/2))</f>
        <v>-2</v>
      </c>
      <c r="U11" s="1">
        <v>17</v>
      </c>
      <c r="V11" s="1">
        <f t="shared" ref="V11" si="45">(INT((U11-10)/2))</f>
        <v>3</v>
      </c>
      <c r="W11" s="1">
        <v>10</v>
      </c>
      <c r="X11" s="1">
        <f t="shared" ref="X11" si="46">(INT((W11-10)/2))</f>
        <v>0</v>
      </c>
    </row>
    <row r="12" spans="1:24">
      <c r="A12" s="1" t="s">
        <v>62</v>
      </c>
      <c r="B12" s="1">
        <v>11</v>
      </c>
      <c r="C12" s="1" t="s">
        <v>54</v>
      </c>
      <c r="E12" s="1" t="s">
        <v>39</v>
      </c>
      <c r="F12" s="1">
        <v>1</v>
      </c>
      <c r="G12" s="1">
        <v>0</v>
      </c>
      <c r="H12" s="1" t="s">
        <v>63</v>
      </c>
      <c r="I12" s="1" t="s">
        <v>47</v>
      </c>
      <c r="J12" s="1">
        <v>1</v>
      </c>
      <c r="M12" s="1">
        <v>9</v>
      </c>
      <c r="N12" s="1">
        <f t="shared" si="1"/>
        <v>-1</v>
      </c>
      <c r="O12" s="1">
        <v>14</v>
      </c>
      <c r="P12" s="1">
        <f t="shared" ref="P12" si="47">(INT((O12-10)/2))</f>
        <v>2</v>
      </c>
      <c r="Q12" s="1">
        <v>14</v>
      </c>
      <c r="R12" s="1">
        <f t="shared" si="43"/>
        <v>2</v>
      </c>
      <c r="S12" s="1">
        <v>10</v>
      </c>
      <c r="T12" s="1">
        <f t="shared" ref="T12" si="48">(INT((S12-10)/2))</f>
        <v>0</v>
      </c>
      <c r="U12" s="1">
        <v>6</v>
      </c>
      <c r="V12" s="1">
        <f t="shared" ref="V12" si="49">(INT((U12-10)/2))</f>
        <v>-2</v>
      </c>
      <c r="W12" s="1">
        <v>16</v>
      </c>
      <c r="X12" s="1">
        <f t="shared" ref="X12" si="50">(INT((W12-10)/2))</f>
        <v>3</v>
      </c>
    </row>
    <row r="13" spans="1:24" ht="57">
      <c r="A13" s="1" t="s">
        <v>53</v>
      </c>
      <c r="B13" s="1">
        <v>9</v>
      </c>
      <c r="J13" s="1">
        <v>2</v>
      </c>
      <c r="K13" s="1" t="s">
        <v>64</v>
      </c>
      <c r="L13" s="1" t="s">
        <v>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FE3DCCD7373024E84EE2E195A0A7460" ma:contentTypeVersion="14" ma:contentTypeDescription="Crear nuevo documento." ma:contentTypeScope="" ma:versionID="9c5fe5080737f498835bd2d9d4e78e12">
  <xsd:schema xmlns:xsd="http://www.w3.org/2001/XMLSchema" xmlns:xs="http://www.w3.org/2001/XMLSchema" xmlns:p="http://schemas.microsoft.com/office/2006/metadata/properties" xmlns:ns3="7c5d65ae-dd4c-42e9-a760-1483bb566e2c" xmlns:ns4="ecb6ce5d-d8b9-4a2b-93be-18f353c43254" targetNamespace="http://schemas.microsoft.com/office/2006/metadata/properties" ma:root="true" ma:fieldsID="a74015842085a18a3a3b1f516f0630d7" ns3:_="" ns4:_="">
    <xsd:import namespace="7c5d65ae-dd4c-42e9-a760-1483bb566e2c"/>
    <xsd:import namespace="ecb6ce5d-d8b9-4a2b-93be-18f353c43254"/>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5d65ae-dd4c-42e9-a760-1483bb566e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b6ce5d-d8b9-4a2b-93be-18f353c43254"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SharingHintHash" ma:index="18"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7c5d65ae-dd4c-42e9-a760-1483bb566e2c" xsi:nil="true"/>
  </documentManagement>
</p:properties>
</file>

<file path=customXml/itemProps1.xml><?xml version="1.0" encoding="utf-8"?>
<ds:datastoreItem xmlns:ds="http://schemas.openxmlformats.org/officeDocument/2006/customXml" ds:itemID="{82F26B1A-F46F-4EEC-8194-E2F786EFBD55}">
  <ds:schemaRefs>
    <ds:schemaRef ds:uri="http://schemas.microsoft.com/sharepoint/v3/contenttype/forms"/>
  </ds:schemaRefs>
</ds:datastoreItem>
</file>

<file path=customXml/itemProps2.xml><?xml version="1.0" encoding="utf-8"?>
<ds:datastoreItem xmlns:ds="http://schemas.openxmlformats.org/officeDocument/2006/customXml" ds:itemID="{0DE75FF8-4343-4CB1-8F7E-27C6332DD2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5d65ae-dd4c-42e9-a760-1483bb566e2c"/>
    <ds:schemaRef ds:uri="ecb6ce5d-d8b9-4a2b-93be-18f353c432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622B12-5B3A-4BF4-AEA6-C94284661AF9}">
  <ds:schemaRefs>
    <ds:schemaRef ds:uri="ecb6ce5d-d8b9-4a2b-93be-18f353c43254"/>
    <ds:schemaRef ds:uri="http://purl.org/dc/dcmitype/"/>
    <ds:schemaRef ds:uri="http://purl.org/dc/elements/1.1/"/>
    <ds:schemaRef ds:uri="http://schemas.microsoft.com/office/infopath/2007/PartnerControls"/>
    <ds:schemaRef ds:uri="http://schemas.openxmlformats.org/package/2006/metadata/core-properties"/>
    <ds:schemaRef ds:uri="http://www.w3.org/XML/1998/namespace"/>
    <ds:schemaRef ds:uri="http://schemas.microsoft.com/office/2006/documentManagement/types"/>
    <ds:schemaRef ds:uri="7c5d65ae-dd4c-42e9-a760-1483bb566e2c"/>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Elias Barea Peralta (Alumno)</dc:creator>
  <cp:keywords/>
  <dc:description/>
  <cp:lastModifiedBy>Elias Barea Peralta (Alumno)</cp:lastModifiedBy>
  <cp:revision/>
  <dcterms:created xsi:type="dcterms:W3CDTF">2025-12-19T02:03:57Z</dcterms:created>
  <dcterms:modified xsi:type="dcterms:W3CDTF">2026-01-07T07:14:12Z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0x0101006FE3DCCD7373024E84EE2E195A0A7460</vt:lpwstr>
  </property>
</Properties>
</file>